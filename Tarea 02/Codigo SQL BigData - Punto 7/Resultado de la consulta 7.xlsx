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7.1" sheetId="1" r:id="rId5"/>
    <sheet state="visible" name="7.2" sheetId="2" r:id="rId6"/>
    <sheet state="visible" name="7.3" sheetId="3" r:id="rId7"/>
    <sheet state="visible" name="7.4" sheetId="4" r:id="rId8"/>
    <sheet state="visible" name="7.5" sheetId="5" r:id="rId9"/>
    <sheet state="visible" name="7.6" sheetId="6" r:id="rId10"/>
  </sheets>
  <definedNames/>
  <calcPr/>
</workbook>
</file>

<file path=xl/sharedStrings.xml><?xml version="1.0" encoding="utf-8"?>
<sst xmlns="http://schemas.openxmlformats.org/spreadsheetml/2006/main" count="113" uniqueCount="49">
  <si>
    <t>departamento</t>
  </si>
  <si>
    <t>monto_total</t>
  </si>
  <si>
    <t>%</t>
  </si>
  <si>
    <t>% acumulado</t>
  </si>
  <si>
    <t>NORTE DE SANTANDER</t>
  </si>
  <si>
    <t>ANTIOQUIA</t>
  </si>
  <si>
    <t>BOYACÁ</t>
  </si>
  <si>
    <t>CUNDINAMARCA</t>
  </si>
  <si>
    <t>NARIÑO</t>
  </si>
  <si>
    <t>BOLÍVAR</t>
  </si>
  <si>
    <t>TOLIMA</t>
  </si>
  <si>
    <t>VALLE DEL CAUCA</t>
  </si>
  <si>
    <t>municipio</t>
  </si>
  <si>
    <t>cantidad_total</t>
  </si>
  <si>
    <t>VALDIVIA</t>
  </si>
  <si>
    <t>TURBO</t>
  </si>
  <si>
    <t>SOPETRAN</t>
  </si>
  <si>
    <t>NARINO</t>
  </si>
  <si>
    <t>CACERES</t>
  </si>
  <si>
    <t>AMAGA</t>
  </si>
  <si>
    <t>FRONTINO</t>
  </si>
  <si>
    <t>PUERTO BERRIO</t>
  </si>
  <si>
    <t>ANORI</t>
  </si>
  <si>
    <t>DABEIBA</t>
  </si>
  <si>
    <t>AMALFI</t>
  </si>
  <si>
    <t>BELMIRA</t>
  </si>
  <si>
    <t>SAN PEDRO DE URABA</t>
  </si>
  <si>
    <t>VENECIA</t>
  </si>
  <si>
    <t>ARBOLETES</t>
  </si>
  <si>
    <t>SESQUILE</t>
  </si>
  <si>
    <t>CÓRDOBA</t>
  </si>
  <si>
    <t>MONITOS</t>
  </si>
  <si>
    <t>Togüí</t>
  </si>
  <si>
    <t>CESAR</t>
  </si>
  <si>
    <t>PELAYA</t>
  </si>
  <si>
    <t>ZARZAL</t>
  </si>
  <si>
    <t>id_region</t>
  </si>
  <si>
    <t>region</t>
  </si>
  <si>
    <t>producto</t>
  </si>
  <si>
    <t>Region Centro Oriente</t>
  </si>
  <si>
    <t>MANGOSON</t>
  </si>
  <si>
    <t>MANZALOCA</t>
  </si>
  <si>
    <t>NARANJITA</t>
  </si>
  <si>
    <t>COLOMBIANITA</t>
  </si>
  <si>
    <t>Region Caribe</t>
  </si>
  <si>
    <t>Region Pacifico</t>
  </si>
  <si>
    <t>Region Eje Cafetero - Antioquia</t>
  </si>
  <si>
    <t>Region Centro Sur</t>
  </si>
  <si>
    <t>Region Llano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</si>
</sst>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1" numFmtId="10" xfId="0" applyAlignment="1" applyFont="1" applyNumberFormat="1">
      <alignment shrinkToFit="0" vertical="center" wrapText="0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shrinkToFit="0" vertical="bottom" wrapText="0"/>
    </xf>
    <xf borderId="1" fillId="2" fontId="1" numFmtId="0" xfId="0" applyBorder="1" applyFill="1" applyFont="1"/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6">
    <tableStyle count="4" pivot="0" name="7.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7.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7.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7.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7.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7.6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674EA7"/>
                </a:solidFill>
                <a:latin typeface="Arial"/>
              </a:defRPr>
            </a:pPr>
            <a:r>
              <a:rPr b="1">
                <a:solidFill>
                  <a:srgbClr val="674EA7"/>
                </a:solidFill>
                <a:latin typeface="Arial"/>
              </a:rPr>
              <a:t>Análisis de Ventas por Departamento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'7.1'!$B$3</c:f>
            </c:strRef>
          </c:tx>
          <c:spPr>
            <a:solidFill>
              <a:srgbClr val="674EA7"/>
            </a:solidFill>
            <a:ln cmpd="sng">
              <a:solidFill>
                <a:srgbClr val="000000"/>
              </a:solidFill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'7.1'!$A$4:$A$11</c:f>
            </c:strRef>
          </c:cat>
          <c:val>
            <c:numRef>
              <c:f>'7.1'!$B$4:$B$11</c:f>
              <c:numCache/>
            </c:numRef>
          </c:val>
        </c:ser>
        <c:axId val="1334631864"/>
        <c:axId val="398706563"/>
      </c:barChart>
      <c:catAx>
        <c:axId val="1334631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departamento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8706563"/>
      </c:catAx>
      <c:valAx>
        <c:axId val="3987065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monto_total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4631864"/>
      </c:valAx>
      <c:lineChart>
        <c:varyColors val="0"/>
        <c:ser>
          <c:idx val="1"/>
          <c:order val="1"/>
          <c:tx>
            <c:strRef>
              <c:f>'7.1'!$D$3</c:f>
            </c:strRef>
          </c:tx>
          <c:spPr>
            <a:ln cmpd="sng">
              <a:solidFill>
                <a:srgbClr val="CC4125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CC4125">
                  <a:alpha val="100000"/>
                </a:srgbClr>
              </a:solidFill>
              <a:ln cmpd="sng">
                <a:solidFill>
                  <a:srgbClr val="CC4125">
                    <a:alpha val="100000"/>
                  </a:srgbClr>
                </a:solidFill>
              </a:ln>
            </c:spPr>
          </c:marker>
          <c:cat>
            <c:strRef>
              <c:f>'7.1'!$A$4:$A$11</c:f>
            </c:strRef>
          </c:cat>
          <c:val>
            <c:numRef>
              <c:f>'7.1'!$D$4:$D$11</c:f>
              <c:numCache/>
            </c:numRef>
          </c:val>
          <c:smooth val="0"/>
        </c:ser>
        <c:axId val="1065993564"/>
        <c:axId val="1853571718"/>
      </c:lineChart>
      <c:catAx>
        <c:axId val="10659935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3571718"/>
      </c:catAx>
      <c:valAx>
        <c:axId val="185357171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599356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Top 15 Municipios con Mayor Volumen de Ventas - Antioquia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'7.2'!$B$3</c:f>
            </c:strRef>
          </c:tx>
          <c:spPr>
            <a:solidFill>
              <a:srgbClr val="674EA7"/>
            </a:solidFill>
            <a:ln cmpd="sng">
              <a:solidFill>
                <a:srgbClr val="000000"/>
              </a:solidFill>
            </a:ln>
          </c:spPr>
          <c:cat>
            <c:strRef>
              <c:f>'7.2'!$A$4:$A$18</c:f>
            </c:strRef>
          </c:cat>
          <c:val>
            <c:numRef>
              <c:f>'7.2'!$B$4:$B$18</c:f>
              <c:numCache/>
            </c:numRef>
          </c:val>
        </c:ser>
        <c:axId val="2072398890"/>
        <c:axId val="192368341"/>
      </c:barChart>
      <c:catAx>
        <c:axId val="20723988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municipio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368341"/>
      </c:catAx>
      <c:valAx>
        <c:axId val="1923683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2398890"/>
      </c:valAx>
      <c:lineChart>
        <c:varyColors val="0"/>
        <c:ser>
          <c:idx val="1"/>
          <c:order val="1"/>
          <c:tx>
            <c:strRef>
              <c:f>'7.2'!$D$3</c:f>
            </c:strRef>
          </c:tx>
          <c:spPr>
            <a:ln cmpd="sng">
              <a:solidFill>
                <a:srgbClr val="CC4125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CC4125">
                  <a:alpha val="100000"/>
                </a:srgbClr>
              </a:solidFill>
              <a:ln cmpd="sng">
                <a:solidFill>
                  <a:srgbClr val="CC4125">
                    <a:alpha val="100000"/>
                  </a:srgbClr>
                </a:solidFill>
              </a:ln>
            </c:spPr>
          </c:marker>
          <c:cat>
            <c:strRef>
              <c:f>'7.2'!$A$4:$A$18</c:f>
            </c:strRef>
          </c:cat>
          <c:val>
            <c:numRef>
              <c:f>'7.2'!$D$4:$D$18</c:f>
              <c:numCache/>
            </c:numRef>
          </c:val>
          <c:smooth val="0"/>
        </c:ser>
        <c:axId val="1241353555"/>
        <c:axId val="563534196"/>
      </c:lineChart>
      <c:catAx>
        <c:axId val="12413535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3534196"/>
      </c:catAx>
      <c:valAx>
        <c:axId val="56353419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135355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"/>
              </a:defRPr>
            </a:pPr>
            <a:r>
              <a:rPr b="1">
                <a:solidFill>
                  <a:srgbClr val="757575"/>
                </a:solidFill>
                <a:latin typeface="Arial"/>
              </a:rPr>
              <a:t>Top 5 Departamentos: Venta de Gaseosa ¨MANZALOCA¨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'7.3'!$B$3</c:f>
            </c:strRef>
          </c:tx>
          <c:spPr>
            <a:solidFill>
              <a:srgbClr val="674EA7"/>
            </a:solidFill>
            <a:ln cmpd="sng">
              <a:solidFill>
                <a:srgbClr val="000000"/>
              </a:solidFill>
            </a:ln>
          </c:spPr>
          <c:cat>
            <c:strRef>
              <c:f>'7.3'!$A$4:$A$8</c:f>
            </c:strRef>
          </c:cat>
          <c:val>
            <c:numRef>
              <c:f>'7.3'!$B$4:$B$8</c:f>
              <c:numCache/>
            </c:numRef>
          </c:val>
        </c:ser>
        <c:axId val="1978163128"/>
        <c:axId val="1426787941"/>
      </c:barChart>
      <c:catAx>
        <c:axId val="1978163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departamento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6787941"/>
      </c:catAx>
      <c:valAx>
        <c:axId val="14267879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8163128"/>
      </c:valAx>
      <c:lineChart>
        <c:varyColors val="0"/>
        <c:ser>
          <c:idx val="1"/>
          <c:order val="1"/>
          <c:tx>
            <c:strRef>
              <c:f>'7.3'!$D$3</c:f>
            </c:strRef>
          </c:tx>
          <c:spPr>
            <a:ln cmpd="sng">
              <a:solidFill>
                <a:srgbClr val="CC4125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CC4125">
                  <a:alpha val="100000"/>
                </a:srgbClr>
              </a:solidFill>
              <a:ln cmpd="sng">
                <a:solidFill>
                  <a:srgbClr val="CC4125">
                    <a:alpha val="100000"/>
                  </a:srgbClr>
                </a:solidFill>
              </a:ln>
            </c:spPr>
          </c:marker>
          <c:cat>
            <c:strRef>
              <c:f>'7.3'!$A$4:$A$8</c:f>
            </c:strRef>
          </c:cat>
          <c:val>
            <c:numRef>
              <c:f>'7.3'!$D$4:$D$8</c:f>
              <c:numCache/>
            </c:numRef>
          </c:val>
          <c:smooth val="0"/>
        </c:ser>
        <c:axId val="2100431671"/>
        <c:axId val="1078837141"/>
      </c:lineChart>
      <c:catAx>
        <c:axId val="21004316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8837141"/>
      </c:catAx>
      <c:valAx>
        <c:axId val="107883714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043167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"/>
              </a:defRPr>
            </a:pPr>
            <a:r>
              <a:rPr b="1">
                <a:solidFill>
                  <a:srgbClr val="757575"/>
                </a:solidFill>
                <a:latin typeface="Arial"/>
              </a:rPr>
              <a:t>Municipios con Menor Desempeño en Ventas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'7.4'!$B$3</c:f>
            </c:strRef>
          </c:tx>
          <c:spPr>
            <a:solidFill>
              <a:srgbClr val="674EA7"/>
            </a:solidFill>
            <a:ln cmpd="sng">
              <a:solidFill>
                <a:srgbClr val="000000"/>
              </a:solidFill>
            </a:ln>
          </c:spPr>
          <c:cat>
            <c:strRef>
              <c:f>'7.4'!$A$4:$A$8</c:f>
            </c:strRef>
          </c:cat>
          <c:val>
            <c:numRef>
              <c:f>'7.4'!$B$4:$B$8</c:f>
              <c:numCache/>
            </c:numRef>
          </c:val>
        </c:ser>
        <c:axId val="344028651"/>
        <c:axId val="67246777"/>
      </c:barChart>
      <c:catAx>
        <c:axId val="3440286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departamento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246777"/>
      </c:catAx>
      <c:valAx>
        <c:axId val="672467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4028651"/>
      </c:valAx>
      <c:lineChart>
        <c:varyColors val="0"/>
        <c:ser>
          <c:idx val="1"/>
          <c:order val="1"/>
          <c:tx>
            <c:strRef>
              <c:f>'7.4'!$C$3</c:f>
            </c:strRef>
          </c:tx>
          <c:spPr>
            <a:ln cmpd="sng">
              <a:solidFill>
                <a:srgbClr val="CC4125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CC4125">
                  <a:alpha val="100000"/>
                </a:srgbClr>
              </a:solidFill>
              <a:ln cmpd="sng">
                <a:solidFill>
                  <a:srgbClr val="CC4125">
                    <a:alpha val="100000"/>
                  </a:srgbClr>
                </a:solidFill>
              </a:ln>
            </c:spPr>
          </c:marker>
          <c:cat>
            <c:strRef>
              <c:f>'7.4'!$A$4:$A$8</c:f>
            </c:strRef>
          </c:cat>
          <c:val>
            <c:numRef>
              <c:f>'7.4'!$C$4:$C$8</c:f>
              <c:numCache/>
            </c:numRef>
          </c:val>
          <c:smooth val="0"/>
        </c:ser>
        <c:axId val="1126508418"/>
        <c:axId val="907828349"/>
      </c:lineChart>
      <c:catAx>
        <c:axId val="112650841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7828349"/>
      </c:catAx>
      <c:valAx>
        <c:axId val="90782834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650841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"/>
              </a:defRPr>
            </a:pPr>
            <a:r>
              <a:rPr b="1">
                <a:solidFill>
                  <a:srgbClr val="757575"/>
                </a:solidFill>
                <a:latin typeface="Arial"/>
              </a:rPr>
              <a:t>Participacion Regional en el Volumen  Total de ventas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'7.5'!$D$3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'7.5'!$C$4:$C$27</c:f>
            </c:strRef>
          </c:cat>
          <c:val>
            <c:numRef>
              <c:f>'7.5'!$D$4:$D$27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Participacion Regional en el Volumen  Total de ventas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'7.5'!$G$3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'7.5'!$F$4:$F$9</c:f>
            </c:strRef>
          </c:cat>
          <c:val>
            <c:numRef>
              <c:f>'7.5'!$G$4:$G$9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Ranking de Facturación por Producto - Mercado Antioqueño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'7.6'!$B$3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'7.6'!$A$4:$A$7</c:f>
            </c:strRef>
          </c:cat>
          <c:val>
            <c:numRef>
              <c:f>'7.6'!$B$4:$B$7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</xdr:colOff>
      <xdr:row>0</xdr:row>
      <xdr:rowOff>190500</xdr:rowOff>
    </xdr:from>
    <xdr:ext cx="66675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962025</xdr:colOff>
      <xdr:row>1</xdr:row>
      <xdr:rowOff>285750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952500</xdr:colOff>
      <xdr:row>1</xdr:row>
      <xdr:rowOff>257175</xdr:rowOff>
    </xdr:from>
    <xdr:ext cx="5800725" cy="358140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914400</xdr:colOff>
      <xdr:row>1</xdr:row>
      <xdr:rowOff>247650</xdr:rowOff>
    </xdr:from>
    <xdr:ext cx="5800725" cy="358140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28</xdr:row>
      <xdr:rowOff>200025</xdr:rowOff>
    </xdr:from>
    <xdr:ext cx="5715000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952500</xdr:colOff>
      <xdr:row>1</xdr:row>
      <xdr:rowOff>257175</xdr:rowOff>
    </xdr:from>
    <xdr:ext cx="5715000" cy="35337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1</xdr:row>
      <xdr:rowOff>266700</xdr:rowOff>
    </xdr:from>
    <xdr:ext cx="5715000" cy="35337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D11" displayName="R._DE_CONSULTA_7.1" name="R._DE_CONSULTA_7.1" id="1">
  <tableColumns count="4">
    <tableColumn name="departamento" id="1"/>
    <tableColumn name="monto_total" id="2"/>
    <tableColumn name="%" id="3"/>
    <tableColumn name="% acumulado" id="4"/>
  </tableColumns>
  <tableStyleInfo name="7.1-style" showColumnStripes="0" showFirstColumn="1" showLastColumn="1" showRowStripes="1"/>
</table>
</file>

<file path=xl/tables/table2.xml><?xml version="1.0" encoding="utf-8"?>
<table xmlns="http://schemas.openxmlformats.org/spreadsheetml/2006/main" ref="A3:D18" displayName="R._DE_CONSULTA_7.2" name="R._DE_CONSULTA_7.2" id="2">
  <tableColumns count="4">
    <tableColumn name="municipio" id="1"/>
    <tableColumn name="cantidad_total" id="2"/>
    <tableColumn name="%" id="3"/>
    <tableColumn name="% acumulado" id="4"/>
  </tableColumns>
  <tableStyleInfo name="7.2-style" showColumnStripes="0" showFirstColumn="1" showLastColumn="1" showRowStripes="1"/>
</table>
</file>

<file path=xl/tables/table3.xml><?xml version="1.0" encoding="utf-8"?>
<table xmlns="http://schemas.openxmlformats.org/spreadsheetml/2006/main" ref="A3:D8" displayName="R._DE_CONSULTA_7.3" name="R._DE_CONSULTA_7.3" id="3">
  <tableColumns count="4">
    <tableColumn name="departamento" id="1"/>
    <tableColumn name="cantidad_total" id="2"/>
    <tableColumn name="%" id="3"/>
    <tableColumn name="% acumulado" id="4"/>
  </tableColumns>
  <tableStyleInfo name="7.3-style" showColumnStripes="0" showFirstColumn="1" showLastColumn="1" showRowStripes="1"/>
</table>
</file>

<file path=xl/tables/table4.xml><?xml version="1.0" encoding="utf-8"?>
<table xmlns="http://schemas.openxmlformats.org/spreadsheetml/2006/main" ref="A3:E8" displayName="R._DE_CONSULTA_7.4" name="R._DE_CONSULTA_7.4" id="4">
  <tableColumns count="5">
    <tableColumn name="departamento" id="1"/>
    <tableColumn name="municipio" id="2"/>
    <tableColumn name="monto_total" id="3"/>
    <tableColumn name="%" id="4"/>
    <tableColumn name="% acumulado" id="5"/>
  </tableColumns>
  <tableStyleInfo name="7.4-style" showColumnStripes="0" showFirstColumn="1" showLastColumn="1" showRowStripes="1"/>
</table>
</file>

<file path=xl/tables/table5.xml><?xml version="1.0" encoding="utf-8"?>
<table xmlns="http://schemas.openxmlformats.org/spreadsheetml/2006/main" ref="A3:D27" displayName="R._DE_CONSULTA_7.5" name="R._DE_CONSULTA_7.5" id="5">
  <tableColumns count="4">
    <tableColumn name="id_region" id="1"/>
    <tableColumn name="region" id="2"/>
    <tableColumn name="producto" id="3"/>
    <tableColumn name="cantidad_total" id="4"/>
  </tableColumns>
  <tableStyleInfo name="7.5-style" showColumnStripes="0" showFirstColumn="1" showLastColumn="1" showRowStripes="1"/>
</table>
</file>

<file path=xl/tables/table6.xml><?xml version="1.0" encoding="utf-8"?>
<table xmlns="http://schemas.openxmlformats.org/spreadsheetml/2006/main" ref="A3:B7" displayName="R._DE_CONSULTA_7.6" name="R._DE_CONSULTA_7.6" id="6">
  <tableColumns count="2">
    <tableColumn name="producto" id="1"/>
    <tableColumn name="monto_total" id="2"/>
  </tableColumns>
  <tableStyleInfo name="7.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14.25"/>
    <col customWidth="1" min="3" max="3" width="10.0"/>
    <col customWidth="1" min="4" max="4" width="15.38"/>
  </cols>
  <sheetData>
    <row r="1">
      <c r="A1" s="1"/>
    </row>
    <row r="2">
      <c r="A2" s="2"/>
      <c r="B2" s="2"/>
    </row>
    <row r="3" ht="22.5" customHeight="1">
      <c r="A3" s="3" t="s">
        <v>0</v>
      </c>
      <c r="B3" s="3" t="s">
        <v>1</v>
      </c>
      <c r="C3" s="4" t="s">
        <v>2</v>
      </c>
      <c r="D3" s="4" t="s">
        <v>3</v>
      </c>
    </row>
    <row r="4" ht="22.5" customHeight="1">
      <c r="A4" s="5" t="s">
        <v>4</v>
      </c>
      <c r="B4" s="6">
        <v>1.066414E8</v>
      </c>
      <c r="C4" s="7">
        <f t="shared" ref="C4:C11" si="1">B4/SUM($B$4:$B$11)</f>
        <v>0.1850980978</v>
      </c>
      <c r="D4" s="7">
        <f>C4</f>
        <v>0.1850980978</v>
      </c>
    </row>
    <row r="5" ht="22.5" customHeight="1">
      <c r="A5" s="5" t="s">
        <v>5</v>
      </c>
      <c r="B5" s="6">
        <v>1.057598E8</v>
      </c>
      <c r="C5" s="7">
        <f t="shared" si="1"/>
        <v>0.1835678995</v>
      </c>
      <c r="D5" s="7">
        <f t="shared" ref="D5:D11" si="2">D4+C5</f>
        <v>0.3686659973</v>
      </c>
    </row>
    <row r="6" ht="22.5" customHeight="1">
      <c r="A6" s="5" t="s">
        <v>6</v>
      </c>
      <c r="B6" s="6">
        <v>9.95139E7</v>
      </c>
      <c r="C6" s="7">
        <f t="shared" si="1"/>
        <v>0.1727268546</v>
      </c>
      <c r="D6" s="7">
        <f t="shared" si="2"/>
        <v>0.5413928518</v>
      </c>
    </row>
    <row r="7" ht="22.5" customHeight="1">
      <c r="A7" s="5" t="s">
        <v>7</v>
      </c>
      <c r="B7" s="6">
        <v>9.33493E7</v>
      </c>
      <c r="C7" s="7">
        <f t="shared" si="1"/>
        <v>0.1620269225</v>
      </c>
      <c r="D7" s="7">
        <f t="shared" si="2"/>
        <v>0.7034197744</v>
      </c>
    </row>
    <row r="8" ht="22.5" customHeight="1">
      <c r="A8" s="5" t="s">
        <v>8</v>
      </c>
      <c r="B8" s="6">
        <v>5.41676E7</v>
      </c>
      <c r="C8" s="7">
        <f t="shared" si="1"/>
        <v>0.09401901813</v>
      </c>
      <c r="D8" s="7">
        <f t="shared" si="2"/>
        <v>0.7974387925</v>
      </c>
    </row>
    <row r="9" ht="22.5" customHeight="1">
      <c r="A9" s="5" t="s">
        <v>9</v>
      </c>
      <c r="B9" s="6">
        <v>4.02792E7</v>
      </c>
      <c r="C9" s="7">
        <f t="shared" si="1"/>
        <v>0.06991284153</v>
      </c>
      <c r="D9" s="7">
        <f t="shared" si="2"/>
        <v>0.867351634</v>
      </c>
    </row>
    <row r="10" ht="22.5" customHeight="1">
      <c r="A10" s="5" t="s">
        <v>10</v>
      </c>
      <c r="B10" s="6">
        <v>3.98177E7</v>
      </c>
      <c r="C10" s="7">
        <f t="shared" si="1"/>
        <v>0.0691118133</v>
      </c>
      <c r="D10" s="7">
        <f t="shared" si="2"/>
        <v>0.9364634473</v>
      </c>
    </row>
    <row r="11" ht="22.5" customHeight="1">
      <c r="A11" s="5" t="s">
        <v>11</v>
      </c>
      <c r="B11" s="6">
        <v>3.66056E7</v>
      </c>
      <c r="C11" s="7">
        <f t="shared" si="1"/>
        <v>0.06353655266</v>
      </c>
      <c r="D11" s="7">
        <f t="shared" si="2"/>
        <v>1</v>
      </c>
    </row>
    <row r="12">
      <c r="A12" s="8"/>
      <c r="B12" s="8"/>
    </row>
  </sheetData>
  <mergeCells count="1">
    <mergeCell ref="F2:L14"/>
  </mergeCells>
  <dataValidations>
    <dataValidation type="custom" allowBlank="1" showDropDown="1" sqref="C4:C11">
      <formula1>AND(ISNUMBER(C4),(NOT(OR(NOT(ISERROR(DATEVALUE(C4))), AND(ISNUMBER(C4), LEFT(CELL("format", C4))="D")))))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15.88"/>
    <col customWidth="1" min="3" max="3" width="10.0"/>
    <col customWidth="1" min="4" max="4" width="15.38"/>
  </cols>
  <sheetData>
    <row r="1">
      <c r="A1" s="9"/>
      <c r="B1" s="10"/>
    </row>
    <row r="3" ht="22.5" customHeight="1">
      <c r="A3" s="3" t="s">
        <v>12</v>
      </c>
      <c r="B3" s="3" t="s">
        <v>13</v>
      </c>
      <c r="C3" s="4" t="s">
        <v>2</v>
      </c>
      <c r="D3" s="4" t="s">
        <v>3</v>
      </c>
    </row>
    <row r="4" ht="22.5" customHeight="1">
      <c r="A4" s="5" t="s">
        <v>14</v>
      </c>
      <c r="B4" s="6">
        <v>1850.0</v>
      </c>
      <c r="C4" s="7">
        <f t="shared" ref="C4:C18" si="1">B4/SUM($B$4:$B$18)</f>
        <v>0.08019420001</v>
      </c>
      <c r="D4" s="7">
        <f>C4</f>
        <v>0.08019420001</v>
      </c>
    </row>
    <row r="5" ht="22.5" customHeight="1">
      <c r="A5" s="5" t="s">
        <v>15</v>
      </c>
      <c r="B5" s="6">
        <v>1708.0</v>
      </c>
      <c r="C5" s="7">
        <f t="shared" si="1"/>
        <v>0.07403875331</v>
      </c>
      <c r="D5" s="7">
        <f t="shared" ref="D5:D18" si="2">D4+C5</f>
        <v>0.1542329533</v>
      </c>
    </row>
    <row r="6" ht="22.5" customHeight="1">
      <c r="A6" s="5" t="s">
        <v>16</v>
      </c>
      <c r="B6" s="6">
        <v>1699.0</v>
      </c>
      <c r="C6" s="7">
        <f t="shared" si="1"/>
        <v>0.07364861936</v>
      </c>
      <c r="D6" s="7">
        <f t="shared" si="2"/>
        <v>0.2278815727</v>
      </c>
    </row>
    <row r="7" ht="22.5" customHeight="1">
      <c r="A7" s="5" t="s">
        <v>17</v>
      </c>
      <c r="B7" s="6">
        <v>1611.0</v>
      </c>
      <c r="C7" s="7">
        <f t="shared" si="1"/>
        <v>0.06983397633</v>
      </c>
      <c r="D7" s="7">
        <f t="shared" si="2"/>
        <v>0.297715549</v>
      </c>
    </row>
    <row r="8" ht="22.5" customHeight="1">
      <c r="A8" s="5" t="s">
        <v>18</v>
      </c>
      <c r="B8" s="6">
        <v>1604.0</v>
      </c>
      <c r="C8" s="7">
        <f t="shared" si="1"/>
        <v>0.06953053882</v>
      </c>
      <c r="D8" s="7">
        <f t="shared" si="2"/>
        <v>0.3672460878</v>
      </c>
    </row>
    <row r="9" ht="22.5" customHeight="1">
      <c r="A9" s="5" t="s">
        <v>19</v>
      </c>
      <c r="B9" s="6">
        <v>1600.0</v>
      </c>
      <c r="C9" s="7">
        <f t="shared" si="1"/>
        <v>0.06935714595</v>
      </c>
      <c r="D9" s="7">
        <f t="shared" si="2"/>
        <v>0.4366032338</v>
      </c>
    </row>
    <row r="10" ht="22.5" customHeight="1">
      <c r="A10" s="5" t="s">
        <v>20</v>
      </c>
      <c r="B10" s="6">
        <v>1520.0</v>
      </c>
      <c r="C10" s="7">
        <f t="shared" si="1"/>
        <v>0.06588928866</v>
      </c>
      <c r="D10" s="7">
        <f t="shared" si="2"/>
        <v>0.5024925224</v>
      </c>
    </row>
    <row r="11" ht="22.5" customHeight="1">
      <c r="A11" s="5" t="s">
        <v>21</v>
      </c>
      <c r="B11" s="6">
        <v>1514.0</v>
      </c>
      <c r="C11" s="7">
        <f t="shared" si="1"/>
        <v>0.06562919936</v>
      </c>
      <c r="D11" s="7">
        <f t="shared" si="2"/>
        <v>0.5681217218</v>
      </c>
    </row>
    <row r="12" ht="22.5" customHeight="1">
      <c r="A12" s="5" t="s">
        <v>22</v>
      </c>
      <c r="B12" s="6">
        <v>1510.0</v>
      </c>
      <c r="C12" s="7">
        <f t="shared" si="1"/>
        <v>0.06545580649</v>
      </c>
      <c r="D12" s="7">
        <f t="shared" si="2"/>
        <v>0.6335775283</v>
      </c>
    </row>
    <row r="13" ht="22.5" customHeight="1">
      <c r="A13" s="5" t="s">
        <v>23</v>
      </c>
      <c r="B13" s="6">
        <v>1441.0</v>
      </c>
      <c r="C13" s="7">
        <f t="shared" si="1"/>
        <v>0.06246477957</v>
      </c>
      <c r="D13" s="7">
        <f t="shared" si="2"/>
        <v>0.6960423079</v>
      </c>
    </row>
    <row r="14" ht="22.5" customHeight="1">
      <c r="A14" s="5" t="s">
        <v>24</v>
      </c>
      <c r="B14" s="6">
        <v>1430.0</v>
      </c>
      <c r="C14" s="7">
        <f t="shared" si="1"/>
        <v>0.0619879492</v>
      </c>
      <c r="D14" s="7">
        <f t="shared" si="2"/>
        <v>0.7580302571</v>
      </c>
    </row>
    <row r="15" ht="22.5" customHeight="1">
      <c r="A15" s="5" t="s">
        <v>25</v>
      </c>
      <c r="B15" s="6">
        <v>1412.0</v>
      </c>
      <c r="C15" s="7">
        <f t="shared" si="1"/>
        <v>0.0612076813</v>
      </c>
      <c r="D15" s="7">
        <f t="shared" si="2"/>
        <v>0.8192379384</v>
      </c>
    </row>
    <row r="16" ht="22.5" customHeight="1">
      <c r="A16" s="5" t="s">
        <v>26</v>
      </c>
      <c r="B16" s="6">
        <v>1399.0</v>
      </c>
      <c r="C16" s="7">
        <f t="shared" si="1"/>
        <v>0.06064415449</v>
      </c>
      <c r="D16" s="7">
        <f t="shared" si="2"/>
        <v>0.8798820929</v>
      </c>
    </row>
    <row r="17" ht="22.5" customHeight="1">
      <c r="A17" s="5" t="s">
        <v>27</v>
      </c>
      <c r="B17" s="6">
        <v>1391.0</v>
      </c>
      <c r="C17" s="7">
        <f t="shared" si="1"/>
        <v>0.06029736876</v>
      </c>
      <c r="D17" s="7">
        <f t="shared" si="2"/>
        <v>0.9401794616</v>
      </c>
    </row>
    <row r="18" ht="22.5" customHeight="1">
      <c r="A18" s="5" t="s">
        <v>28</v>
      </c>
      <c r="B18" s="6">
        <v>1380.0</v>
      </c>
      <c r="C18" s="7">
        <f t="shared" si="1"/>
        <v>0.05982053838</v>
      </c>
      <c r="D18" s="7">
        <f t="shared" si="2"/>
        <v>1</v>
      </c>
    </row>
  </sheetData>
  <mergeCells count="1">
    <mergeCell ref="F3:K14"/>
  </mergeCells>
  <dataValidations>
    <dataValidation type="custom" allowBlank="1" showDropDown="1" sqref="C4:C18">
      <formula1>AND(ISNUMBER(C4),(NOT(OR(NOT(ISERROR(DATEVALUE(C4))), AND(ISNUMBER(C4), LEFT(CELL("format", C4))="D")))))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15.88"/>
    <col customWidth="1" min="3" max="3" width="13.13"/>
    <col customWidth="1" min="4" max="4" width="15.38"/>
  </cols>
  <sheetData>
    <row r="1">
      <c r="A1" s="1"/>
    </row>
    <row r="3" ht="22.5" customHeight="1">
      <c r="A3" s="3" t="s">
        <v>0</v>
      </c>
      <c r="B3" s="3" t="s">
        <v>13</v>
      </c>
      <c r="C3" s="4" t="s">
        <v>2</v>
      </c>
      <c r="D3" s="4" t="s">
        <v>3</v>
      </c>
    </row>
    <row r="4" ht="22.5" customHeight="1">
      <c r="A4" s="5" t="s">
        <v>4</v>
      </c>
      <c r="B4" s="6">
        <v>30160.0</v>
      </c>
      <c r="C4" s="7">
        <f t="shared" ref="C4:C8" si="1">B4/SUM($B$4:$B$8)</f>
        <v>0.2435695538</v>
      </c>
      <c r="D4" s="7">
        <f>C4</f>
        <v>0.2435695538</v>
      </c>
    </row>
    <row r="5" ht="22.5" customHeight="1">
      <c r="A5" s="5" t="s">
        <v>5</v>
      </c>
      <c r="B5" s="6">
        <v>27305.0</v>
      </c>
      <c r="C5" s="7">
        <f t="shared" si="1"/>
        <v>0.2205128205</v>
      </c>
      <c r="D5" s="7">
        <f t="shared" ref="D5:D8" si="2">D4+C5</f>
        <v>0.4640823743</v>
      </c>
    </row>
    <row r="6" ht="22.5" customHeight="1">
      <c r="A6" s="5" t="s">
        <v>6</v>
      </c>
      <c r="B6" s="6">
        <v>26577.0</v>
      </c>
      <c r="C6" s="7">
        <f t="shared" si="1"/>
        <v>0.2146335554</v>
      </c>
      <c r="D6" s="7">
        <f t="shared" si="2"/>
        <v>0.6787159297</v>
      </c>
    </row>
    <row r="7" ht="22.5" customHeight="1">
      <c r="A7" s="5" t="s">
        <v>7</v>
      </c>
      <c r="B7" s="6">
        <v>25510.0</v>
      </c>
      <c r="C7" s="7">
        <f t="shared" si="1"/>
        <v>0.2060165556</v>
      </c>
      <c r="D7" s="7">
        <f t="shared" si="2"/>
        <v>0.8847324854</v>
      </c>
    </row>
    <row r="8" ht="22.5" customHeight="1">
      <c r="A8" s="5" t="s">
        <v>8</v>
      </c>
      <c r="B8" s="6">
        <v>14273.0</v>
      </c>
      <c r="C8" s="7">
        <f t="shared" si="1"/>
        <v>0.1152675146</v>
      </c>
      <c r="D8" s="7">
        <f t="shared" si="2"/>
        <v>1</v>
      </c>
    </row>
  </sheetData>
  <mergeCells count="1">
    <mergeCell ref="F3:K17"/>
  </mergeCells>
  <dataValidations>
    <dataValidation type="custom" allowBlank="1" showDropDown="1" sqref="C4:C8">
      <formula1>AND(ISNUMBER(C4),(NOT(OR(NOT(ISERROR(DATEVALUE(C4))), AND(ISNUMBER(C4), LEFT(CELL("format", C4))="D")))))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12.5"/>
    <col customWidth="1" min="3" max="3" width="17.5"/>
    <col customWidth="1" min="4" max="4" width="13.13"/>
    <col customWidth="1" min="5" max="5" width="15.38"/>
  </cols>
  <sheetData>
    <row r="1">
      <c r="A1" s="1"/>
    </row>
    <row r="3" ht="22.5" customHeight="1">
      <c r="A3" s="3" t="s">
        <v>0</v>
      </c>
      <c r="B3" s="3" t="s">
        <v>12</v>
      </c>
      <c r="C3" s="3" t="s">
        <v>1</v>
      </c>
      <c r="D3" s="4" t="s">
        <v>2</v>
      </c>
      <c r="E3" s="4" t="s">
        <v>3</v>
      </c>
    </row>
    <row r="4" ht="22.5" customHeight="1">
      <c r="A4" s="5" t="s">
        <v>7</v>
      </c>
      <c r="B4" s="5" t="s">
        <v>29</v>
      </c>
      <c r="C4" s="11">
        <v>104200.0</v>
      </c>
      <c r="D4" s="7">
        <f t="shared" ref="D4:D8" si="1">C4/SUM($C$4:$C$8)</f>
        <v>0.2337371018</v>
      </c>
      <c r="E4" s="7">
        <f>D4</f>
        <v>0.2337371018</v>
      </c>
    </row>
    <row r="5" ht="22.5" customHeight="1">
      <c r="A5" s="5" t="s">
        <v>30</v>
      </c>
      <c r="B5" s="5" t="s">
        <v>31</v>
      </c>
      <c r="C5" s="11">
        <v>94200.0</v>
      </c>
      <c r="D5" s="7">
        <f t="shared" si="1"/>
        <v>0.2113055182</v>
      </c>
      <c r="E5" s="7">
        <f t="shared" ref="E5:E8" si="2">E4+D5</f>
        <v>0.44504262</v>
      </c>
    </row>
    <row r="6" ht="22.5" customHeight="1">
      <c r="A6" s="5" t="s">
        <v>6</v>
      </c>
      <c r="B6" s="5" t="s">
        <v>32</v>
      </c>
      <c r="C6" s="11">
        <v>92800.0</v>
      </c>
      <c r="D6" s="7">
        <f t="shared" si="1"/>
        <v>0.2081650965</v>
      </c>
      <c r="E6" s="7">
        <f t="shared" si="2"/>
        <v>0.6532077165</v>
      </c>
    </row>
    <row r="7" ht="22.5" customHeight="1">
      <c r="A7" s="5" t="s">
        <v>33</v>
      </c>
      <c r="B7" s="5" t="s">
        <v>34</v>
      </c>
      <c r="C7" s="11">
        <v>86400.0</v>
      </c>
      <c r="D7" s="7">
        <f t="shared" si="1"/>
        <v>0.1938088829</v>
      </c>
      <c r="E7" s="7">
        <f t="shared" si="2"/>
        <v>0.8470165994</v>
      </c>
    </row>
    <row r="8" ht="22.5" customHeight="1">
      <c r="A8" s="5" t="s">
        <v>11</v>
      </c>
      <c r="B8" s="5" t="s">
        <v>35</v>
      </c>
      <c r="C8" s="11">
        <v>68200.0</v>
      </c>
      <c r="D8" s="7">
        <f t="shared" si="1"/>
        <v>0.1529834006</v>
      </c>
      <c r="E8" s="7">
        <f t="shared" si="2"/>
        <v>1</v>
      </c>
    </row>
    <row r="9">
      <c r="A9" s="1"/>
    </row>
    <row r="10">
      <c r="A10" s="8"/>
      <c r="B10" s="8"/>
      <c r="C10" s="8"/>
      <c r="D10" s="8"/>
    </row>
    <row r="11">
      <c r="A11" s="10"/>
      <c r="B11" s="8"/>
      <c r="C11" s="8"/>
      <c r="D11" s="10"/>
    </row>
    <row r="12">
      <c r="A12" s="10"/>
      <c r="B12" s="8"/>
      <c r="C12" s="8"/>
      <c r="D12" s="10"/>
    </row>
    <row r="13">
      <c r="A13" s="10"/>
      <c r="B13" s="8"/>
      <c r="C13" s="8"/>
      <c r="D13" s="10"/>
    </row>
    <row r="14">
      <c r="A14" s="10"/>
      <c r="B14" s="8"/>
      <c r="C14" s="8"/>
      <c r="D14" s="10"/>
    </row>
    <row r="15">
      <c r="A15" s="10"/>
      <c r="B15" s="8"/>
      <c r="C15" s="8"/>
      <c r="D15" s="10"/>
    </row>
    <row r="16">
      <c r="A16" s="10"/>
      <c r="B16" s="8"/>
      <c r="C16" s="8"/>
      <c r="D16" s="10"/>
    </row>
    <row r="17">
      <c r="A17" s="10"/>
      <c r="B17" s="8"/>
      <c r="C17" s="8"/>
      <c r="D17" s="10"/>
    </row>
    <row r="18">
      <c r="A18" s="10"/>
      <c r="B18" s="8"/>
      <c r="C18" s="8"/>
      <c r="D18" s="10"/>
    </row>
    <row r="19">
      <c r="A19" s="10"/>
      <c r="B19" s="8"/>
      <c r="C19" s="8"/>
      <c r="D19" s="10"/>
    </row>
    <row r="20">
      <c r="A20" s="10"/>
      <c r="B20" s="8"/>
      <c r="C20" s="8"/>
      <c r="D20" s="10"/>
    </row>
    <row r="21">
      <c r="A21" s="10"/>
      <c r="B21" s="8"/>
      <c r="C21" s="8"/>
      <c r="D21" s="10"/>
    </row>
    <row r="22">
      <c r="A22" s="10"/>
      <c r="B22" s="8"/>
      <c r="C22" s="8"/>
      <c r="D22" s="10"/>
    </row>
    <row r="23">
      <c r="A23" s="10"/>
      <c r="B23" s="8"/>
      <c r="C23" s="8"/>
      <c r="D23" s="10"/>
    </row>
    <row r="24">
      <c r="A24" s="10"/>
      <c r="B24" s="8"/>
      <c r="C24" s="8"/>
      <c r="D24" s="10"/>
    </row>
    <row r="25">
      <c r="A25" s="10"/>
      <c r="B25" s="8"/>
      <c r="C25" s="8"/>
      <c r="D25" s="10"/>
    </row>
    <row r="26">
      <c r="A26" s="10"/>
      <c r="B26" s="8"/>
      <c r="C26" s="8"/>
      <c r="D26" s="10"/>
    </row>
    <row r="27">
      <c r="A27" s="10"/>
      <c r="B27" s="8"/>
      <c r="C27" s="8"/>
      <c r="D27" s="10"/>
    </row>
    <row r="28">
      <c r="A28" s="10"/>
      <c r="B28" s="8"/>
      <c r="C28" s="8"/>
      <c r="D28" s="10"/>
    </row>
    <row r="29">
      <c r="A29" s="10"/>
      <c r="B29" s="8"/>
      <c r="C29" s="8"/>
      <c r="D29" s="10"/>
    </row>
    <row r="30">
      <c r="A30" s="10"/>
      <c r="B30" s="8"/>
      <c r="C30" s="8"/>
      <c r="D30" s="10"/>
    </row>
    <row r="31">
      <c r="A31" s="10"/>
      <c r="B31" s="8"/>
      <c r="C31" s="8"/>
      <c r="D31" s="10"/>
    </row>
    <row r="32">
      <c r="A32" s="10"/>
      <c r="B32" s="8"/>
      <c r="C32" s="8"/>
      <c r="D32" s="10"/>
    </row>
    <row r="33">
      <c r="A33" s="10"/>
      <c r="B33" s="8"/>
      <c r="C33" s="8"/>
      <c r="D33" s="10"/>
    </row>
    <row r="34">
      <c r="A34" s="10"/>
      <c r="B34" s="8"/>
      <c r="C34" s="8"/>
      <c r="D34" s="10"/>
    </row>
    <row r="36">
      <c r="A36" s="1"/>
    </row>
    <row r="37">
      <c r="A37" s="8"/>
      <c r="B37" s="8"/>
    </row>
    <row r="38">
      <c r="A38" s="8"/>
      <c r="B38" s="10"/>
    </row>
    <row r="39">
      <c r="A39" s="8"/>
      <c r="B39" s="10"/>
    </row>
    <row r="40">
      <c r="A40" s="8"/>
      <c r="B40" s="10"/>
    </row>
    <row r="41">
      <c r="A41" s="8"/>
      <c r="B41" s="10"/>
    </row>
  </sheetData>
  <mergeCells count="1">
    <mergeCell ref="G3:L17"/>
  </mergeCells>
  <dataValidations>
    <dataValidation type="custom" allowBlank="1" showDropDown="1" sqref="D4:D8">
      <formula1>AND(ISNUMBER(D4),(NOT(OR(NOT(ISERROR(DATEVALUE(D4))), AND(ISNUMBER(D4), LEFT(CELL("format", D4))="D")))))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5.63"/>
    <col customWidth="1" min="3" max="3" width="18.38"/>
    <col customWidth="1" min="4" max="4" width="19.13"/>
    <col customWidth="1" min="6" max="6" width="24.38"/>
    <col customWidth="1" min="7" max="7" width="10.0"/>
  </cols>
  <sheetData>
    <row r="1">
      <c r="A1" s="1"/>
    </row>
    <row r="3" ht="22.5" customHeight="1">
      <c r="A3" s="3" t="s">
        <v>36</v>
      </c>
      <c r="B3" s="3" t="s">
        <v>37</v>
      </c>
      <c r="C3" s="3" t="s">
        <v>38</v>
      </c>
      <c r="D3" s="3" t="s">
        <v>13</v>
      </c>
      <c r="F3" s="12" t="str">
        <f>IFERROR(__xludf.DUMMYFUNCTION("QUERY(R._DE_CONSULTA_7.5[[region]:[cantidad_total]],""SELECT B, SUM(D) GROUP BY B LABEL B 'region', SUM(D) 'total_ventas'"",0)"),"region")</f>
        <v>region</v>
      </c>
      <c r="G3" s="12" t="str">
        <f>IFERROR(__xludf.DUMMYFUNCTION("""COMPUTED_VALUE"""),"total_ventas")</f>
        <v>total_ventas</v>
      </c>
    </row>
    <row r="4" ht="22.5" customHeight="1">
      <c r="A4" s="13">
        <v>2.0</v>
      </c>
      <c r="B4" s="5" t="s">
        <v>39</v>
      </c>
      <c r="C4" s="14" t="s">
        <v>40</v>
      </c>
      <c r="D4" s="13">
        <v>83105.0</v>
      </c>
      <c r="F4" s="12" t="str">
        <f>IFERROR(__xludf.DUMMYFUNCTION("""COMPUTED_VALUE"""),"Region Caribe")</f>
        <v>Region Caribe</v>
      </c>
      <c r="G4" s="12">
        <f>IFERROR(__xludf.DUMMYFUNCTION("""COMPUTED_VALUE"""),179402.0)</f>
        <v>179402</v>
      </c>
    </row>
    <row r="5" ht="22.5" customHeight="1">
      <c r="A5" s="13">
        <v>2.0</v>
      </c>
      <c r="B5" s="5" t="s">
        <v>39</v>
      </c>
      <c r="C5" s="14" t="s">
        <v>41</v>
      </c>
      <c r="D5" s="13">
        <v>82590.0</v>
      </c>
      <c r="F5" s="12" t="str">
        <f>IFERROR(__xludf.DUMMYFUNCTION("""COMPUTED_VALUE"""),"Region Centro Oriente")</f>
        <v>Region Centro Oriente</v>
      </c>
      <c r="G5" s="12">
        <f>IFERROR(__xludf.DUMMYFUNCTION("""COMPUTED_VALUE"""),326268.0)</f>
        <v>326268</v>
      </c>
    </row>
    <row r="6" ht="22.5" customHeight="1">
      <c r="A6" s="13">
        <v>2.0</v>
      </c>
      <c r="B6" s="5" t="s">
        <v>39</v>
      </c>
      <c r="C6" s="14" t="s">
        <v>42</v>
      </c>
      <c r="D6" s="13">
        <v>82514.0</v>
      </c>
      <c r="F6" s="12" t="str">
        <f>IFERROR(__xludf.DUMMYFUNCTION("""COMPUTED_VALUE"""),"Region Centro Sur")</f>
        <v>Region Centro Sur</v>
      </c>
      <c r="G6" s="12">
        <f>IFERROR(__xludf.DUMMYFUNCTION("""COMPUTED_VALUE"""),114208.0)</f>
        <v>114208</v>
      </c>
    </row>
    <row r="7" ht="22.5" customHeight="1">
      <c r="A7" s="13">
        <v>2.0</v>
      </c>
      <c r="B7" s="5" t="s">
        <v>39</v>
      </c>
      <c r="C7" s="14" t="s">
        <v>43</v>
      </c>
      <c r="D7" s="13">
        <v>78059.0</v>
      </c>
      <c r="F7" s="12" t="str">
        <f>IFERROR(__xludf.DUMMYFUNCTION("""COMPUTED_VALUE"""),"Region Eje Cafetero - Antioquia")</f>
        <v>Region Eje Cafetero - Antioquia</v>
      </c>
      <c r="G7" s="12">
        <f>IFERROR(__xludf.DUMMYFUNCTION("""COMPUTED_VALUE"""),160691.0)</f>
        <v>160691</v>
      </c>
    </row>
    <row r="8" ht="22.5" customHeight="1">
      <c r="A8" s="13">
        <v>4.0</v>
      </c>
      <c r="B8" s="5" t="s">
        <v>44</v>
      </c>
      <c r="C8" s="14" t="s">
        <v>42</v>
      </c>
      <c r="D8" s="13">
        <v>47274.0</v>
      </c>
      <c r="F8" s="12" t="str">
        <f>IFERROR(__xludf.DUMMYFUNCTION("""COMPUTED_VALUE"""),"Region Llano")</f>
        <v>Region Llano</v>
      </c>
      <c r="G8" s="12">
        <f>IFERROR(__xludf.DUMMYFUNCTION("""COMPUTED_VALUE"""),60523.0)</f>
        <v>60523</v>
      </c>
    </row>
    <row r="9" ht="22.5" customHeight="1">
      <c r="A9" s="13">
        <v>4.0</v>
      </c>
      <c r="B9" s="5" t="s">
        <v>44</v>
      </c>
      <c r="C9" s="14" t="s">
        <v>43</v>
      </c>
      <c r="D9" s="13">
        <v>44702.0</v>
      </c>
      <c r="F9" s="12" t="str">
        <f>IFERROR(__xludf.DUMMYFUNCTION("""COMPUTED_VALUE"""),"Region Pacifico")</f>
        <v>Region Pacifico</v>
      </c>
      <c r="G9" s="12">
        <f>IFERROR(__xludf.DUMMYFUNCTION("""COMPUTED_VALUE"""),166663.0)</f>
        <v>166663</v>
      </c>
    </row>
    <row r="10" ht="22.5" customHeight="1">
      <c r="A10" s="13">
        <v>4.0</v>
      </c>
      <c r="B10" s="5" t="s">
        <v>44</v>
      </c>
      <c r="C10" s="14" t="s">
        <v>40</v>
      </c>
      <c r="D10" s="13">
        <v>44699.0</v>
      </c>
    </row>
    <row r="11" ht="22.5" customHeight="1">
      <c r="A11" s="13">
        <v>6.0</v>
      </c>
      <c r="B11" s="5" t="s">
        <v>45</v>
      </c>
      <c r="C11" s="14" t="s">
        <v>40</v>
      </c>
      <c r="D11" s="13">
        <v>43859.0</v>
      </c>
    </row>
    <row r="12" ht="22.5" customHeight="1">
      <c r="A12" s="13">
        <v>6.0</v>
      </c>
      <c r="B12" s="5" t="s">
        <v>45</v>
      </c>
      <c r="C12" s="14" t="s">
        <v>43</v>
      </c>
      <c r="D12" s="13">
        <v>42949.0</v>
      </c>
    </row>
    <row r="13" ht="22.5" customHeight="1">
      <c r="A13" s="13">
        <v>4.0</v>
      </c>
      <c r="B13" s="5" t="s">
        <v>44</v>
      </c>
      <c r="C13" s="14" t="s">
        <v>41</v>
      </c>
      <c r="D13" s="13">
        <v>42727.0</v>
      </c>
    </row>
    <row r="14" ht="22.5" customHeight="1">
      <c r="A14" s="13">
        <v>1.0</v>
      </c>
      <c r="B14" s="5" t="s">
        <v>46</v>
      </c>
      <c r="C14" s="14" t="s">
        <v>43</v>
      </c>
      <c r="D14" s="13">
        <v>41966.0</v>
      </c>
    </row>
    <row r="15" ht="22.5" customHeight="1">
      <c r="A15" s="13">
        <v>1.0</v>
      </c>
      <c r="B15" s="5" t="s">
        <v>46</v>
      </c>
      <c r="C15" s="14" t="s">
        <v>42</v>
      </c>
      <c r="D15" s="13">
        <v>41405.0</v>
      </c>
    </row>
    <row r="16" ht="22.5" customHeight="1">
      <c r="A16" s="13">
        <v>6.0</v>
      </c>
      <c r="B16" s="5" t="s">
        <v>45</v>
      </c>
      <c r="C16" s="14" t="s">
        <v>42</v>
      </c>
      <c r="D16" s="13">
        <v>39984.0</v>
      </c>
    </row>
    <row r="17" ht="22.5" customHeight="1">
      <c r="A17" s="13">
        <v>6.0</v>
      </c>
      <c r="B17" s="5" t="s">
        <v>45</v>
      </c>
      <c r="C17" s="14" t="s">
        <v>41</v>
      </c>
      <c r="D17" s="13">
        <v>39871.0</v>
      </c>
    </row>
    <row r="18" ht="22.5" customHeight="1">
      <c r="A18" s="13">
        <v>1.0</v>
      </c>
      <c r="B18" s="5" t="s">
        <v>46</v>
      </c>
      <c r="C18" s="14" t="s">
        <v>40</v>
      </c>
      <c r="D18" s="13">
        <v>39231.0</v>
      </c>
    </row>
    <row r="19" ht="22.5" customHeight="1">
      <c r="A19" s="13">
        <v>1.0</v>
      </c>
      <c r="B19" s="5" t="s">
        <v>46</v>
      </c>
      <c r="C19" s="14" t="s">
        <v>41</v>
      </c>
      <c r="D19" s="13">
        <v>38089.0</v>
      </c>
    </row>
    <row r="20" ht="22.5" customHeight="1">
      <c r="A20" s="13">
        <v>3.0</v>
      </c>
      <c r="B20" s="5" t="s">
        <v>47</v>
      </c>
      <c r="C20" s="14" t="s">
        <v>42</v>
      </c>
      <c r="D20" s="13">
        <v>29775.0</v>
      </c>
    </row>
    <row r="21" ht="22.5" customHeight="1">
      <c r="A21" s="13">
        <v>3.0</v>
      </c>
      <c r="B21" s="5" t="s">
        <v>47</v>
      </c>
      <c r="C21" s="14" t="s">
        <v>41</v>
      </c>
      <c r="D21" s="13">
        <v>28327.0</v>
      </c>
    </row>
    <row r="22" ht="22.5" customHeight="1">
      <c r="A22" s="13">
        <v>3.0</v>
      </c>
      <c r="B22" s="5" t="s">
        <v>47</v>
      </c>
      <c r="C22" s="14" t="s">
        <v>40</v>
      </c>
      <c r="D22" s="13">
        <v>28248.0</v>
      </c>
    </row>
    <row r="23" ht="22.5" customHeight="1">
      <c r="A23" s="13">
        <v>3.0</v>
      </c>
      <c r="B23" s="5" t="s">
        <v>47</v>
      </c>
      <c r="C23" s="14" t="s">
        <v>43</v>
      </c>
      <c r="D23" s="13">
        <v>27858.0</v>
      </c>
    </row>
    <row r="24" ht="22.5" customHeight="1">
      <c r="A24" s="13">
        <v>5.0</v>
      </c>
      <c r="B24" s="5" t="s">
        <v>48</v>
      </c>
      <c r="C24" s="14" t="s">
        <v>41</v>
      </c>
      <c r="D24" s="13">
        <v>16444.0</v>
      </c>
    </row>
    <row r="25" ht="22.5" customHeight="1">
      <c r="A25" s="13">
        <v>5.0</v>
      </c>
      <c r="B25" s="5" t="s">
        <v>48</v>
      </c>
      <c r="C25" s="14" t="s">
        <v>42</v>
      </c>
      <c r="D25" s="13">
        <v>15595.0</v>
      </c>
    </row>
    <row r="26" ht="22.5" customHeight="1">
      <c r="A26" s="13">
        <v>5.0</v>
      </c>
      <c r="B26" s="5" t="s">
        <v>48</v>
      </c>
      <c r="C26" s="14" t="s">
        <v>43</v>
      </c>
      <c r="D26" s="13">
        <v>14430.0</v>
      </c>
    </row>
    <row r="27" ht="22.5" customHeight="1">
      <c r="A27" s="13">
        <v>5.0</v>
      </c>
      <c r="B27" s="5" t="s">
        <v>48</v>
      </c>
      <c r="C27" s="14" t="s">
        <v>40</v>
      </c>
      <c r="D27" s="13">
        <v>14054.0</v>
      </c>
    </row>
    <row r="28">
      <c r="A28" s="1"/>
    </row>
    <row r="29">
      <c r="A29" s="8"/>
      <c r="B29" s="8"/>
    </row>
    <row r="30">
      <c r="A30" s="8"/>
      <c r="B30" s="10"/>
    </row>
    <row r="31">
      <c r="A31" s="8"/>
      <c r="B31" s="10"/>
    </row>
    <row r="32">
      <c r="A32" s="8"/>
      <c r="B32" s="10"/>
    </row>
    <row r="33">
      <c r="A33" s="8"/>
      <c r="B33" s="10"/>
    </row>
  </sheetData>
  <dataValidations>
    <dataValidation type="list" allowBlank="1" showDropDown="1" showErrorMessage="1" sqref="C4:C27">
      <formula1>"MANGOSON,MANZALOCA,NARANJITA,COLOMBIANITA"</formula1>
    </dataValidation>
    <dataValidation type="custom" allowBlank="1" showDropDown="1" sqref="A4:A27 D4:D27">
      <formula1>AND(ISNUMBER(A4),(NOT(OR(NOT(ISERROR(DATEVALUE(A4))), AND(ISNUMBER(A4), LEFT(CELL("format", A4))="D")))))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4.25"/>
  </cols>
  <sheetData>
    <row r="1">
      <c r="A1" s="1"/>
    </row>
    <row r="3" ht="22.5" customHeight="1">
      <c r="A3" s="3" t="s">
        <v>38</v>
      </c>
      <c r="B3" s="3" t="s">
        <v>1</v>
      </c>
    </row>
    <row r="4" ht="22.5" customHeight="1">
      <c r="A4" s="5" t="s">
        <v>43</v>
      </c>
      <c r="B4" s="6">
        <v>3.56808E7</v>
      </c>
    </row>
    <row r="5" ht="22.5" customHeight="1">
      <c r="A5" s="5" t="s">
        <v>41</v>
      </c>
      <c r="B5" s="6">
        <v>2.7305E7</v>
      </c>
    </row>
    <row r="6" ht="22.5" customHeight="1">
      <c r="A6" s="5" t="s">
        <v>40</v>
      </c>
      <c r="B6" s="6">
        <v>2.48202E7</v>
      </c>
    </row>
    <row r="7" ht="22.5" customHeight="1">
      <c r="A7" s="5" t="s">
        <v>42</v>
      </c>
      <c r="B7" s="6">
        <v>1.79538E7</v>
      </c>
    </row>
    <row r="8">
      <c r="E8" s="15"/>
    </row>
  </sheetData>
  <drawing r:id="rId1"/>
  <tableParts count="1">
    <tablePart r:id="rId3"/>
  </tableParts>
</worksheet>
</file>